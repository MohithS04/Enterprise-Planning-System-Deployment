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vs Actual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<sst xmlns="http://schemas.openxmlformats.org/spreadsheetml/2006/main" count="31" uniqueCount="31">
  <si>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Monthly Budget vs. Actual Report</t>
  </si>
  <si>
    <t>For the Period Ending: April 30, 2026</t>
  </si>
  <si>
    <t>Executive Summary</t>
  </si>
  <si>
    <t>• Revenue missed budget by $100k (2%) driven by lower volume in the Northeast region.</t>
  </si>
  <si>
    <t>• Operating Expenses ran favorable to budget by $50k due to delayed headcount hiring.</t>
  </si>
  <si>
    <t>• Net EBITDA landing at $400k (11.1% margin), slightly below the 11.4% target.</t>
  </si>
  <si>
    <t>P&amp;L Line Item</t>
  </si>
  <si>
    <t>Budget</t>
  </si>
  <si>
    <t>Actual</t>
  </si>
  <si>
    <t>$ Variance</t>
  </si>
  <si>
    <t>% Variance</t>
  </si>
  <si>
    <t>Prior Year</t>
  </si>
  <si>
    <t>Gross Revenue</t>
  </si>
  <si>
    <t>Cost of Goods Sold</t>
  </si>
  <si>
    <t>Gross Margin</t>
  </si>
  <si>
    <t>Payroll &amp; Benefits</t>
  </si>
  <si>
    <t>Marketing &amp; Advertising</t>
  </si>
  <si>
    <t>Software &amp; IT</t>
  </si>
  <si>
    <t>Travel &amp; Entertainment</t>
  </si>
  <si>
    <t>Total Operating Expenses</t>
  </si>
  <si>
    <t>EBITDA</t>
  </si>
  <si>
    <t>OpEx Variance by Department</t>
  </si>
  <si>
    <t>Variance (%)</t>
  </si>
  <si>
    <t>Sales</t>
  </si>
  <si>
    <t>Marketing</t>
  </si>
  <si>
    <t>IT</t>
  </si>
  <si>
    <t>HR</t>
  </si>
  <si>
    <t>Finance</t>
  </si>
  <si>
    <t>Footnotes &amp; Variance Explanations:</t>
  </si>
  <si>
    <t>1. COGS variance driven by supply chain expediting fees incurred in Week 2.</t>
  </si>
  <si>
    <t>2. Marketing overspend due to accelerated Q3 ad campaign rollout.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</si>
</sst>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/>
    <xf numFmtId="165" fontId="0" fillId="0" borderId="1" xfId="0" applyNumberFormat="1" applyBorder="1"/>
    <xf numFmtId="164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showGridLines="0" tabSelected="1" workbookViewId="0"/>
  </sheetViews>
  <sheetFormatPr defaultRowHeight="15"/>
  <cols>
    <col min="1" max="1" width="35.7109375" customWidth="1"/>
    <col min="2" max="6" width="16.7109375" customWidth="1"/>
    <col min="7" max="7" width="5.7109375" customWidth="1"/>
    <col min="8" max="9" width="35.7109375" customWidth="1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</row>
    <row r="5" spans="1:9">
      <c r="A5" s="4" t="s">
        <v>3</v>
      </c>
      <c r="B5" s="4"/>
      <c r="C5" s="4"/>
      <c r="D5" s="4"/>
      <c r="E5" s="4"/>
      <c r="F5" s="4"/>
    </row>
    <row r="6" spans="1:9">
      <c r="A6" s="4" t="s">
        <v>4</v>
      </c>
      <c r="B6" s="4"/>
      <c r="C6" s="4"/>
      <c r="D6" s="4"/>
      <c r="E6" s="4"/>
      <c r="F6" s="4"/>
    </row>
    <row r="7" spans="1:9">
      <c r="A7" s="4" t="s">
        <v>5</v>
      </c>
      <c r="B7" s="4"/>
      <c r="C7" s="4"/>
      <c r="D7" s="4"/>
      <c r="E7" s="4"/>
      <c r="F7" s="4"/>
    </row>
    <row r="9" spans="1:9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H9" s="5" t="s">
        <v>21</v>
      </c>
      <c r="I9" s="5" t="s">
        <v>22</v>
      </c>
    </row>
    <row r="10" spans="1:9">
      <c r="A10" s="3" t="s">
        <v>12</v>
      </c>
      <c r="B10" s="6">
        <v>5000000</v>
      </c>
      <c r="C10" s="6">
        <v>4900000</v>
      </c>
      <c r="D10" s="6">
        <f>C10-B10</f>
        <v>0</v>
      </c>
      <c r="E10" s="7">
        <f>IFERROR(D10/B10, 0)</f>
        <v>0</v>
      </c>
      <c r="F10" s="6">
        <v>4500000</v>
      </c>
    </row>
    <row r="11" spans="1:9">
      <c r="A11" s="4" t="s">
        <v>13</v>
      </c>
      <c r="B11" s="8">
        <v>-2500000</v>
      </c>
      <c r="C11" s="8">
        <v>-2520000</v>
      </c>
      <c r="D11" s="8">
        <f>C11-B11</f>
        <v>0</v>
      </c>
      <c r="E11" s="7">
        <f>IFERROR(D11/B11, 0)</f>
        <v>0</v>
      </c>
      <c r="F11" s="8">
        <v>-2300000</v>
      </c>
      <c r="H11" s="4" t="s">
        <v>23</v>
      </c>
      <c r="I11" s="7">
        <v>0.05</v>
      </c>
    </row>
    <row r="12" spans="1:9">
      <c r="A12" s="3" t="s">
        <v>14</v>
      </c>
      <c r="B12" s="6">
        <v>2500000</v>
      </c>
      <c r="C12" s="6">
        <v>2380000</v>
      </c>
      <c r="D12" s="6">
        <f>C12-B12</f>
        <v>0</v>
      </c>
      <c r="E12" s="7">
        <f>IFERROR(D12/B12, 0)</f>
        <v>0</v>
      </c>
      <c r="F12" s="6">
        <v>2200000</v>
      </c>
      <c r="H12" s="4" t="s">
        <v>24</v>
      </c>
      <c r="I12" s="7">
        <v>-0.04</v>
      </c>
    </row>
    <row r="13" spans="1:9">
      <c r="A13" s="4" t="s">
        <v>15</v>
      </c>
      <c r="B13" s="8">
        <v>-1200000</v>
      </c>
      <c r="C13" s="8">
        <v>-1150000</v>
      </c>
      <c r="D13" s="8">
        <f>C13-B13</f>
        <v>0</v>
      </c>
      <c r="E13" s="7">
        <f>IFERROR(D13/B13, 0)</f>
        <v>0</v>
      </c>
      <c r="F13" s="8">
        <v>-1100000</v>
      </c>
      <c r="H13" s="4" t="s">
        <v>25</v>
      </c>
      <c r="I13" s="7">
        <v>0</v>
      </c>
    </row>
    <row r="14" spans="1:9">
      <c r="A14" s="4" t="s">
        <v>16</v>
      </c>
      <c r="B14" s="8">
        <v>-400000</v>
      </c>
      <c r="C14" s="8">
        <v>-420000</v>
      </c>
      <c r="D14" s="8">
        <f>C14-B14</f>
        <v>0</v>
      </c>
      <c r="E14" s="7">
        <f>IFERROR(D14/B14, 0)</f>
        <v>0</v>
      </c>
      <c r="F14" s="8">
        <v>-350000</v>
      </c>
      <c r="H14" s="4" t="s">
        <v>26</v>
      </c>
      <c r="I14" s="7">
        <v>0.02</v>
      </c>
    </row>
    <row r="15" spans="1:9">
      <c r="A15" s="4" t="s">
        <v>17</v>
      </c>
      <c r="B15" s="8">
        <v>-200000</v>
      </c>
      <c r="C15" s="8">
        <v>-200000</v>
      </c>
      <c r="D15" s="8">
        <f>C15-B15</f>
        <v>0</v>
      </c>
      <c r="E15" s="7">
        <f>IFERROR(D15/B15, 0)</f>
        <v>0</v>
      </c>
      <c r="F15" s="8">
        <v>-180000</v>
      </c>
      <c r="H15" s="4" t="s">
        <v>27</v>
      </c>
      <c r="I15" s="7">
        <v>-0.01</v>
      </c>
    </row>
    <row r="16" spans="1:9">
      <c r="A16" s="4" t="s">
        <v>18</v>
      </c>
      <c r="B16" s="8">
        <v>-100000</v>
      </c>
      <c r="C16" s="8">
        <v>-90000</v>
      </c>
      <c r="D16" s="8">
        <f>C16-B16</f>
        <v>0</v>
      </c>
      <c r="E16" s="7">
        <f>IFERROR(D16/B16, 0)</f>
        <v>0</v>
      </c>
      <c r="F16" s="8">
        <v>-80000</v>
      </c>
    </row>
    <row r="17" spans="1:6">
      <c r="A17" s="3" t="s">
        <v>19</v>
      </c>
      <c r="B17" s="6">
        <v>-1900000</v>
      </c>
      <c r="C17" s="6">
        <v>-1860000</v>
      </c>
      <c r="D17" s="6">
        <f>C17-B17</f>
        <v>0</v>
      </c>
      <c r="E17" s="7">
        <f>IFERROR(D17/B17, 0)</f>
        <v>0</v>
      </c>
      <c r="F17" s="6">
        <v>-1710000</v>
      </c>
    </row>
    <row r="18" spans="1:6">
      <c r="A18" s="3" t="s">
        <v>20</v>
      </c>
      <c r="B18" s="6">
        <v>600000</v>
      </c>
      <c r="C18" s="6">
        <v>520000</v>
      </c>
      <c r="D18" s="6">
        <f>C18-B18</f>
        <v>0</v>
      </c>
      <c r="E18" s="7">
        <f>IFERROR(D18/B18, 0)</f>
        <v>0</v>
      </c>
      <c r="F18" s="6">
        <v>490000</v>
      </c>
    </row>
    <row r="20" spans="1:6">
      <c r="A20" s="2" t="s">
        <v>28</v>
      </c>
    </row>
    <row r="21" spans="1:6">
      <c r="A21" s="9" t="s">
        <v>29</v>
      </c>
    </row>
    <row r="22" spans="1:6">
      <c r="A22" s="9" t="s">
        <v>30</v>
      </c>
    </row>
  </sheetData>
  <mergeCells count="3">
    <mergeCell ref="A5:F5"/>
    <mergeCell ref="A6:F6"/>
    <mergeCell ref="A7:F7"/>
  </mergeCells>
  <conditionalFormatting sqref="D10:D18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I11:I15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vs 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