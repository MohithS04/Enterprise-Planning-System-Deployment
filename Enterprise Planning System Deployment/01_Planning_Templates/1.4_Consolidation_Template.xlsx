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X Rates &amp; Settings" sheetId="1" r:id="rId1"/>
    <sheet name="Consolidated P&amp;L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<sst xmlns="http://schemas.openxmlformats.org/spreadsheetml/2006/main" count="23" uniqueCount="23">
  <si>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Global Consolidation Settings</t>
  </si>
  <si>
    <t>Currency</t>
  </si>
  <si>
    <t>Spot Rate (Period End)</t>
  </si>
  <si>
    <t>Average Rate (P&amp;L)</t>
  </si>
  <si>
    <t>USD (Base)</t>
  </si>
  <si>
    <t>EUR</t>
  </si>
  <si>
    <t>GBP</t>
  </si>
  <si>
    <t>Minority Interest %</t>
  </si>
  <si>
    <t>Global Consolidated Income Statement</t>
  </si>
  <si>
    <t>P&amp;L Line Item</t>
  </si>
  <si>
    <t>Entity 1 (US - USD)</t>
  </si>
  <si>
    <t>Entity 2 (EU - EUR)</t>
  </si>
  <si>
    <t>Entity 3 (UK - GBP)</t>
  </si>
  <si>
    <t>FX Adjustments</t>
  </si>
  <si>
    <t>Intercomp Eliminations</t>
  </si>
  <si>
    <t>Consolidated Total</t>
  </si>
  <si>
    <t>Gross Revenue</t>
  </si>
  <si>
    <t>Cost of Goods Sold</t>
  </si>
  <si>
    <t>Gross Profit</t>
  </si>
  <si>
    <t>Operating Expenses</t>
  </si>
  <si>
    <t>Net Income</t>
  </si>
  <si>
    <t>Minority Interest Adj</t>
  </si>
  <si>
    <t>Net Income Attributable to Parent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</si>
</sst>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$#,##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3" borderId="1" xfId="0" applyNumberFormat="1" applyFill="1" applyBorder="1"/>
    <xf numFmtId="165" fontId="0" fillId="0" borderId="1" xfId="0" applyNumberFormat="1" applyBorder="1"/>
    <xf numFmtId="166" fontId="0" fillId="0" borderId="1" xfId="0" applyNumberFormat="1" applyBorder="1"/>
    <xf numFmtId="166" fontId="3" fillId="4" borderId="1" xfId="0" applyNumberFormat="1" applyFont="1" applyFill="1" applyBorder="1"/>
    <xf numFmtId="166" fontId="4" fillId="5" borderId="1" xfId="0" applyNumberFormat="1" applyFont="1" applyFill="1" applyBorder="1"/>
    <xf numFmtId="0" fontId="3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4" width="20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4">
        <v>1</v>
      </c>
      <c r="C4" s="4">
        <v>1</v>
      </c>
    </row>
    <row r="5" spans="1:3">
      <c r="A5" s="3" t="s">
        <v>5</v>
      </c>
      <c r="B5" s="4">
        <v>1.085</v>
      </c>
      <c r="C5" s="4">
        <v>1.072</v>
      </c>
    </row>
    <row r="6" spans="1:3">
      <c r="A6" s="3" t="s">
        <v>6</v>
      </c>
      <c r="B6" s="4">
        <v>1.264</v>
      </c>
      <c r="C6" s="4">
        <v>1.251</v>
      </c>
    </row>
    <row r="8" spans="1:3">
      <c r="A8" s="3" t="s">
        <v>7</v>
      </c>
      <c r="B8" s="5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5.7109375" customWidth="1"/>
    <col min="2" max="7" width="16.7109375" customWidth="1"/>
  </cols>
  <sheetData>
    <row r="1" spans="1:7">
      <c r="A1" s="1" t="s">
        <v>8</v>
      </c>
    </row>
    <row r="3" spans="1:7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>
      <c r="A4" s="3" t="s">
        <v>16</v>
      </c>
      <c r="B4" s="6">
        <v>5000000</v>
      </c>
      <c r="C4" s="6">
        <v>2000000</v>
      </c>
      <c r="D4" s="6">
        <v>1500000</v>
      </c>
      <c r="E4" s="7">
        <f>(C4*('FX Rates &amp; Settings'!$C$5-1)) + (D4*('FX Rates &amp; Settings'!$C$6-1))</f>
        <v>0</v>
      </c>
      <c r="F4" s="8">
        <v>-200000</v>
      </c>
      <c r="G4" s="7">
        <f>SUM(B4:F4)</f>
        <v>0</v>
      </c>
    </row>
    <row r="5" spans="1:7">
      <c r="A5" s="3" t="s">
        <v>17</v>
      </c>
      <c r="B5" s="6">
        <v>-2000000</v>
      </c>
      <c r="C5" s="6">
        <v>-800000</v>
      </c>
      <c r="D5" s="6">
        <v>-600000</v>
      </c>
      <c r="E5" s="7">
        <f>(C5*('FX Rates &amp; Settings'!$C$5-1)) + (D5*('FX Rates &amp; Settings'!$C$6-1))</f>
        <v>0</v>
      </c>
      <c r="F5" s="8">
        <v>200000</v>
      </c>
      <c r="G5" s="7">
        <f>SUM(B5:F5)</f>
        <v>0</v>
      </c>
    </row>
    <row r="6" spans="1:7">
      <c r="A6" s="9" t="s">
        <v>18</v>
      </c>
      <c r="B6" s="7">
        <f>SUM(B4:B5)</f>
        <v>0</v>
      </c>
      <c r="C6" s="7">
        <f>SUM(C4:C5)</f>
        <v>0</v>
      </c>
      <c r="D6" s="7">
        <f>SUM(D4:D5)</f>
        <v>0</v>
      </c>
      <c r="E6" s="7">
        <f>SUM(E4:E5)</f>
        <v>0</v>
      </c>
      <c r="F6" s="7">
        <f>SUM(F4:F5)</f>
        <v>0</v>
      </c>
      <c r="G6" s="7">
        <f>SUM(G4:G5)</f>
        <v>0</v>
      </c>
    </row>
    <row r="7" spans="1:7">
      <c r="A7" s="3" t="s">
        <v>19</v>
      </c>
      <c r="B7" s="6">
        <v>-1000000</v>
      </c>
      <c r="C7" s="6">
        <v>-500000</v>
      </c>
      <c r="D7" s="6">
        <v>-400000</v>
      </c>
      <c r="E7" s="7">
        <f>(C7*('FX Rates &amp; Settings'!$C$5-1)) + (D7*('FX Rates &amp; Settings'!$C$6-1))</f>
        <v>0</v>
      </c>
      <c r="F7" s="8">
        <v>0</v>
      </c>
      <c r="G7" s="7">
        <f>SUM(B7:F7)</f>
        <v>0</v>
      </c>
    </row>
    <row r="8" spans="1:7">
      <c r="A8" s="9" t="s">
        <v>20</v>
      </c>
      <c r="B8" s="7">
        <f>B6+B7</f>
        <v>0</v>
      </c>
      <c r="C8" s="7">
        <f>C6+C7</f>
        <v>0</v>
      </c>
      <c r="D8" s="7">
        <f>D6+D7</f>
        <v>0</v>
      </c>
      <c r="E8" s="7">
        <f>E6+E7</f>
        <v>0</v>
      </c>
      <c r="F8" s="7">
        <f>F6+F7</f>
        <v>0</v>
      </c>
      <c r="G8" s="7">
        <f>G6+G7</f>
        <v>0</v>
      </c>
    </row>
    <row r="9" spans="1:7">
      <c r="A9" s="3" t="s">
        <v>21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7">
        <f>-C8*'FX Rates &amp; Settings'!$C$5*'FX Rates &amp; Settings'!$B$8</f>
        <v>0</v>
      </c>
    </row>
    <row r="10" spans="1:7">
      <c r="A10" s="2" t="s">
        <v>22</v>
      </c>
      <c r="G10" s="7">
        <f>G8+G9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FX Rates &amp; Settings</vt:lpstr>
      <vt:lpstr>Consolidated P&amp;L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2026-03-15T19:15:17Z</dcterms:created>
  <dcterms:modified xsi:type="dcterms:W3CDTF">2026-03-15T19:15:17Z</dcterms:modified>
</cp:coreProperties>
</file>