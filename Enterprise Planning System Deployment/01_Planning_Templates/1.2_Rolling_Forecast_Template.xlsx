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12-Month Forecast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<sst xmlns="http://schemas.openxmlformats.org/spreadsheetml/2006/main" count="28" uniqueCount="28">
  <si>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12-Month Rolling Forecast &amp; Driver Inputs</t>
  </si>
  <si>
    <t>Note: Yellow cells are open for forecast inputs. Gray cells are locked (Actuals).</t>
  </si>
  <si>
    <t>Jan (Act)</t>
  </si>
  <si>
    <t>Feb (Act)</t>
  </si>
  <si>
    <t>Mar (Act)</t>
  </si>
  <si>
    <t>Apr (Act)</t>
  </si>
  <si>
    <t>May (Fcst)</t>
  </si>
  <si>
    <t>Jun (Fcst)</t>
  </si>
  <si>
    <t>Jul (Fcst)</t>
  </si>
  <si>
    <t>Aug (Fcst)</t>
  </si>
  <si>
    <t>Sep (Fcst)</t>
  </si>
  <si>
    <t>Oct (Fcst)</t>
  </si>
  <si>
    <t>Nov (Fcst)</t>
  </si>
  <si>
    <t>Dec (Fcst)</t>
  </si>
  <si>
    <t>FY Forecast Total</t>
  </si>
  <si>
    <t>Prior Forecast</t>
  </si>
  <si>
    <t>Variance ($)</t>
  </si>
  <si>
    <t>1. Key Driver Assumptions</t>
  </si>
  <si>
    <t>Unit Volume Sold</t>
  </si>
  <si>
    <t>Average Price per Unit</t>
  </si>
  <si>
    <t>Ending Headcount</t>
  </si>
  <si>
    <t>Average Monthly Salary</t>
  </si>
  <si>
    <t>Benefits Load %</t>
  </si>
  <si>
    <t>2. Financial Forecast Summary</t>
  </si>
  <si>
    <t>Gross Revenue</t>
  </si>
  <si>
    <t>Total Payroll &amp; Benefits</t>
  </si>
  <si>
    <t>Variable Operating Costs</t>
  </si>
  <si>
    <t>Net Operating Income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</si>
</sst>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0" borderId="1" xfId="0" applyBorder="1"/>
    <xf numFmtId="164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4" borderId="1" xfId="0" applyNumberFormat="1" applyFill="1" applyBorder="1"/>
    <xf numFmtId="165" fontId="0" fillId="5" borderId="1" xfId="0" applyNumberFormat="1" applyFill="1" applyBorder="1" applyProtection="1">
      <protection locked="0"/>
    </xf>
    <xf numFmtId="166" fontId="0" fillId="4" borderId="1" xfId="0" applyNumberFormat="1" applyFill="1" applyBorder="1"/>
    <xf numFmtId="166" fontId="0" fillId="5" borderId="1" xfId="0" applyNumberFormat="1" applyFill="1" applyBorder="1" applyProtection="1">
      <protection locked="0"/>
    </xf>
    <xf numFmtId="165" fontId="4" fillId="6" borderId="1" xfId="0" applyNumberFormat="1" applyFon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35.7109375" customWidth="1"/>
    <col min="2" max="13" width="12.7109375" customWidth="1"/>
    <col min="14" max="16" width="15.7109375" customWidth="1"/>
  </cols>
  <sheetData>
    <row r="1" spans="1:16">
      <c r="A1" s="1" t="s">
        <v>0</v>
      </c>
    </row>
    <row r="2" spans="1:16">
      <c r="A2" s="2" t="s">
        <v>1</v>
      </c>
    </row>
    <row r="5" spans="1:1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</row>
    <row r="6" spans="1:16">
      <c r="A6" s="4" t="s">
        <v>17</v>
      </c>
    </row>
    <row r="7" spans="1:16">
      <c r="A7" s="5" t="s">
        <v>18</v>
      </c>
      <c r="B7" s="6">
        <v>100</v>
      </c>
      <c r="C7" s="6">
        <v>110</v>
      </c>
      <c r="D7" s="6">
        <v>105</v>
      </c>
      <c r="E7" s="6">
        <v>115</v>
      </c>
      <c r="F7" s="7">
        <v>120</v>
      </c>
      <c r="G7" s="7">
        <v>130</v>
      </c>
      <c r="H7" s="7">
        <v>135</v>
      </c>
      <c r="I7" s="7">
        <v>140</v>
      </c>
      <c r="J7" s="7">
        <v>150</v>
      </c>
      <c r="K7" s="7">
        <v>160</v>
      </c>
      <c r="L7" s="7">
        <v>155</v>
      </c>
      <c r="M7" s="7">
        <v>180</v>
      </c>
    </row>
    <row r="8" spans="1:16">
      <c r="A8" s="5" t="s">
        <v>19</v>
      </c>
      <c r="B8" s="8">
        <v>50</v>
      </c>
      <c r="C8" s="8">
        <v>50</v>
      </c>
      <c r="D8" s="8">
        <v>50</v>
      </c>
      <c r="E8" s="8">
        <v>50</v>
      </c>
      <c r="F8" s="9">
        <v>55</v>
      </c>
      <c r="G8" s="9">
        <v>55</v>
      </c>
      <c r="H8" s="9">
        <v>55</v>
      </c>
      <c r="I8" s="9">
        <v>55</v>
      </c>
      <c r="J8" s="9">
        <v>60</v>
      </c>
      <c r="K8" s="9">
        <v>60</v>
      </c>
      <c r="L8" s="9">
        <v>60</v>
      </c>
      <c r="M8" s="9">
        <v>60</v>
      </c>
    </row>
    <row r="9" spans="1:16">
      <c r="A9" s="5" t="s">
        <v>20</v>
      </c>
      <c r="B9" s="6">
        <v>20</v>
      </c>
      <c r="C9" s="6">
        <v>20</v>
      </c>
      <c r="D9" s="6">
        <v>21</v>
      </c>
      <c r="E9" s="6">
        <v>22</v>
      </c>
      <c r="F9" s="7">
        <v>22</v>
      </c>
      <c r="G9" s="7">
        <v>23</v>
      </c>
      <c r="H9" s="7">
        <v>24</v>
      </c>
      <c r="I9" s="7">
        <v>25</v>
      </c>
      <c r="J9" s="7">
        <v>25</v>
      </c>
      <c r="K9" s="7">
        <v>26</v>
      </c>
      <c r="L9" s="7">
        <v>26</v>
      </c>
      <c r="M9" s="7">
        <v>28</v>
      </c>
    </row>
    <row r="10" spans="1:16">
      <c r="A10" s="5" t="s">
        <v>21</v>
      </c>
      <c r="B10" s="8">
        <v>5000</v>
      </c>
      <c r="C10" s="8">
        <v>5000</v>
      </c>
      <c r="D10" s="8">
        <v>5000</v>
      </c>
      <c r="E10" s="8">
        <v>5000</v>
      </c>
      <c r="F10" s="9">
        <v>5200</v>
      </c>
      <c r="G10" s="9">
        <v>5200</v>
      </c>
      <c r="H10" s="9">
        <v>5200</v>
      </c>
      <c r="I10" s="9">
        <v>5200</v>
      </c>
      <c r="J10" s="9">
        <v>5200</v>
      </c>
      <c r="K10" s="9">
        <v>5200</v>
      </c>
      <c r="L10" s="9">
        <v>5200</v>
      </c>
      <c r="M10" s="9">
        <v>5200</v>
      </c>
    </row>
    <row r="11" spans="1:16">
      <c r="A11" s="5" t="s">
        <v>22</v>
      </c>
      <c r="B11" s="10">
        <v>0.25</v>
      </c>
      <c r="C11" s="10">
        <v>0.25</v>
      </c>
      <c r="D11" s="10">
        <v>0.25</v>
      </c>
      <c r="E11" s="10">
        <v>0.25</v>
      </c>
      <c r="F11" s="11">
        <v>0.26</v>
      </c>
      <c r="G11" s="11">
        <v>0.26</v>
      </c>
      <c r="H11" s="11">
        <v>0.26</v>
      </c>
      <c r="I11" s="11">
        <v>0.26</v>
      </c>
      <c r="J11" s="11">
        <v>0.26</v>
      </c>
      <c r="K11" s="11">
        <v>0.26</v>
      </c>
      <c r="L11" s="11">
        <v>0.26</v>
      </c>
      <c r="M11" s="11">
        <v>0.26</v>
      </c>
    </row>
    <row r="13" spans="1:16">
      <c r="A13" s="4" t="s">
        <v>23</v>
      </c>
    </row>
    <row r="14" spans="1:16">
      <c r="A14" s="5" t="s">
        <v>24</v>
      </c>
      <c r="B14" s="12">
        <f>B7*B8</f>
        <v>0</v>
      </c>
      <c r="C14" s="12">
        <f>C7*C8</f>
        <v>0</v>
      </c>
      <c r="D14" s="12">
        <f>D7*D8</f>
        <v>0</v>
      </c>
      <c r="E14" s="12">
        <f>E7*E8</f>
        <v>0</v>
      </c>
      <c r="F14" s="12">
        <f>F7*F8</f>
        <v>0</v>
      </c>
      <c r="G14" s="12">
        <f>G7*G8</f>
        <v>0</v>
      </c>
      <c r="H14" s="12">
        <f>H7*H8</f>
        <v>0</v>
      </c>
      <c r="I14" s="12">
        <f>I7*I8</f>
        <v>0</v>
      </c>
      <c r="J14" s="12">
        <f>J7*J8</f>
        <v>0</v>
      </c>
      <c r="K14" s="12">
        <f>K7*K8</f>
        <v>0</v>
      </c>
      <c r="L14" s="12">
        <f>L7*L8</f>
        <v>0</v>
      </c>
      <c r="M14" s="12">
        <f>M7*M8</f>
        <v>0</v>
      </c>
      <c r="N14" s="12">
        <f>SUM(B14:M14)</f>
        <v>0</v>
      </c>
      <c r="O14" s="13">
        <v>850000</v>
      </c>
      <c r="P14" s="13">
        <f>N14-O14</f>
        <v>0</v>
      </c>
    </row>
    <row r="15" spans="1:16">
      <c r="A15" s="5" t="s">
        <v>25</v>
      </c>
      <c r="B15" s="12">
        <f>B9*B10*(1+B11)</f>
        <v>0</v>
      </c>
      <c r="C15" s="12">
        <f>C9*C10*(1+C11)</f>
        <v>0</v>
      </c>
      <c r="D15" s="12">
        <f>D9*D10*(1+D11)</f>
        <v>0</v>
      </c>
      <c r="E15" s="12">
        <f>E9*E10*(1+E11)</f>
        <v>0</v>
      </c>
      <c r="F15" s="12">
        <f>F9*F10*(1+F11)</f>
        <v>0</v>
      </c>
      <c r="G15" s="12">
        <f>G9*G10*(1+G11)</f>
        <v>0</v>
      </c>
      <c r="H15" s="12">
        <f>H9*H10*(1+H11)</f>
        <v>0</v>
      </c>
      <c r="I15" s="12">
        <f>I9*I10*(1+I11)</f>
        <v>0</v>
      </c>
      <c r="J15" s="12">
        <f>J9*J10*(1+J11)</f>
        <v>0</v>
      </c>
      <c r="K15" s="12">
        <f>K9*K10*(1+K11)</f>
        <v>0</v>
      </c>
      <c r="L15" s="12">
        <f>L9*L10*(1+L11)</f>
        <v>0</v>
      </c>
      <c r="M15" s="12">
        <f>M9*M10*(1+M11)</f>
        <v>0</v>
      </c>
      <c r="N15" s="12">
        <f>SUM(B15:M15)</f>
        <v>0</v>
      </c>
      <c r="O15" s="13">
        <v>1500000</v>
      </c>
      <c r="P15" s="13">
        <f>N15-O15</f>
        <v>0</v>
      </c>
    </row>
    <row r="16" spans="1:16">
      <c r="A16" s="5" t="s">
        <v>26</v>
      </c>
      <c r="B16" s="12">
        <f>B14*0.15</f>
        <v>0</v>
      </c>
      <c r="C16" s="12">
        <f>C14*0.15</f>
        <v>0</v>
      </c>
      <c r="D16" s="12">
        <f>D14*0.15</f>
        <v>0</v>
      </c>
      <c r="E16" s="12">
        <f>E14*0.15</f>
        <v>0</v>
      </c>
      <c r="F16" s="12">
        <f>F14*0.15</f>
        <v>0</v>
      </c>
      <c r="G16" s="12">
        <f>G14*0.15</f>
        <v>0</v>
      </c>
      <c r="H16" s="12">
        <f>H14*0.15</f>
        <v>0</v>
      </c>
      <c r="I16" s="12">
        <f>I14*0.15</f>
        <v>0</v>
      </c>
      <c r="J16" s="12">
        <f>J14*0.15</f>
        <v>0</v>
      </c>
      <c r="K16" s="12">
        <f>K14*0.15</f>
        <v>0</v>
      </c>
      <c r="L16" s="12">
        <f>L14*0.15</f>
        <v>0</v>
      </c>
      <c r="M16" s="12">
        <f>M14*0.15</f>
        <v>0</v>
      </c>
      <c r="N16" s="12">
        <f>SUM(B16:M16)</f>
        <v>0</v>
      </c>
      <c r="O16" s="13">
        <v>125000</v>
      </c>
      <c r="P16" s="13">
        <f>N16-O16</f>
        <v>0</v>
      </c>
    </row>
    <row r="18" spans="1:16">
      <c r="A18" s="4" t="s">
        <v>27</v>
      </c>
      <c r="B18" s="12">
        <f>B14-B15-B16</f>
        <v>0</v>
      </c>
      <c r="C18" s="12">
        <f>C14-C15-C16</f>
        <v>0</v>
      </c>
      <c r="D18" s="12">
        <f>D14-D15-D16</f>
        <v>0</v>
      </c>
      <c r="E18" s="12">
        <f>E14-E15-E16</f>
        <v>0</v>
      </c>
      <c r="F18" s="12">
        <f>F14-F15-F16</f>
        <v>0</v>
      </c>
      <c r="G18" s="12">
        <f>G14-G15-G16</f>
        <v>0</v>
      </c>
      <c r="H18" s="12">
        <f>H14-H15-H16</f>
        <v>0</v>
      </c>
      <c r="I18" s="12">
        <f>I14-I15-I16</f>
        <v>0</v>
      </c>
      <c r="J18" s="12">
        <f>J14-J15-J16</f>
        <v>0</v>
      </c>
      <c r="K18" s="12">
        <f>K14-K15-K16</f>
        <v>0</v>
      </c>
      <c r="L18" s="12">
        <f>L14-L15-L16</f>
        <v>0</v>
      </c>
      <c r="M18" s="12">
        <f>M14-M15-M16</f>
        <v>0</v>
      </c>
      <c r="N18" s="12">
        <f>SUM(B18:M18)</f>
        <v>0</v>
      </c>
      <c r="O18" s="13">
        <v>-700000</v>
      </c>
      <c r="P18" s="13">
        <f>N18-O18</f>
        <v>0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Rolling 12-Month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