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roval Workflow" sheetId="1" r:id="rId1"/>
    <sheet name="FY_Budget_Input" sheetId="2" r:id="rId2"/>
  </sheets>
  <calcPr calcId="124519" fullCalcOnLoad="1"/>
</workbook>
</file>

<file path=xl/sharedStrings.xml><?xml version="1.0" encoding="utf-8"?>
<sst xmlns="http://schemas.openxmlformats.org/spreadsheetml/2006/main" count="51" uniqueCount="48">
  <si>
    <t>Annual Budget Approval Workflow</t>
  </si>
  <si>
    <t>Department</t>
  </si>
  <si>
    <t>Status</t>
  </si>
  <si>
    <t>Sales</t>
  </si>
  <si>
    <t>Marketing</t>
  </si>
  <si>
    <t>IT</t>
  </si>
  <si>
    <t>Draft</t>
  </si>
  <si>
    <t>FY Annual Budget Input by Department / Cost Center</t>
  </si>
  <si>
    <t>Note: Yellow cells denote input cells. Green cells are auto-calculated.</t>
  </si>
  <si>
    <t>Category / Account</t>
  </si>
  <si>
    <t>GL Code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</si>
  <si>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</si>
  <si>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</si>
  <si>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</si>
  <si>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</si>
  <si>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</si>
  <si>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</si>
  <si>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</si>
  <si>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</si>
  <si>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</si>
  <si>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</si>
  <si>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</si>
  <si>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</si>
  <si>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 Total</t>
  </si>
  <si>
    <t>Prior Year Actual</t>
  </si>
  <si>
    <t>Variance ($)</t>
  </si>
  <si>
    <t>Variance (%)</t>
  </si>
  <si>
    <t>1. Revenue Targets</t>
  </si>
  <si>
    <t>Product A Sales</t>
  </si>
  <si>
    <t>4000</t>
  </si>
  <si>
    <t>2. Headcount &amp; Compensation</t>
  </si>
  <si>
    <t>Headcount (FTE)</t>
  </si>
  <si>
    <t>N/A</t>
  </si>
  <si>
    <t>Base Salaries</t>
  </si>
  <si>
    <t>5000</t>
  </si>
  <si>
    <t>Benefits Load %</t>
  </si>
  <si>
    <t>Total Benefits Cost</t>
  </si>
  <si>
    <t>5100</t>
  </si>
  <si>
    <t>3. Operating Expenses</t>
  </si>
  <si>
    <t>Software Subscriptions</t>
  </si>
  <si>
    <t>6010</t>
  </si>
  <si>
    <t>Travel &amp; Ent</t>
  </si>
  <si>
    <t>6020</t>
  </si>
  <si>
    <t>4. Capital Expenditures</t>
  </si>
  <si>
    <t>Server Upgrades</t>
  </si>
  <si>
    <t>1500</t>
  </si>
  <si>
    <t>CapEx Justification</t>
  </si>
  <si>
    <t>Q1 end-of-life server replacements</t>
  </si>
</sst>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#,##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3" fillId="0" borderId="0" xfId="0" applyFont="1"/>
    <xf numFmtId="0" fontId="4" fillId="4" borderId="1" xfId="0" applyFont="1" applyFill="1" applyBorder="1"/>
    <xf numFmtId="164" fontId="0" fillId="3" borderId="1" xfId="0" applyNumberFormat="1" applyFill="1" applyBorder="1"/>
    <xf numFmtId="164" fontId="4" fillId="5" borderId="1" xfId="0" applyNumberFormat="1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3" borderId="1" xfId="0" applyNumberFormat="1" applyFill="1" applyBorder="1"/>
    <xf numFmtId="165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4" t="s">
        <v>6</v>
      </c>
    </row>
    <row r="5" spans="1:2">
      <c r="A5" s="3" t="s">
        <v>4</v>
      </c>
      <c r="B5" s="4" t="s">
        <v>6</v>
      </c>
    </row>
    <row r="6" spans="1:2">
      <c r="A6" s="3" t="s">
        <v>5</v>
      </c>
      <c r="B6" s="4" t="s">
        <v>6</v>
      </c>
    </row>
  </sheetData>
  <dataValidations count="3">
    <dataValidation type="list" allowBlank="1" showInputMessage="1" showErrorMessage="1" promptTitle="Select Status" prompt="Choose the current budget status." sqref="B4">
      <formula1>"Draft,Submitted,Approved"</formula1>
    </dataValidation>
    <dataValidation type="list" allowBlank="1" showInputMessage="1" showErrorMessage="1" promptTitle="Select Status" prompt="Choose the current budget status." sqref="B5">
      <formula1>"Draft,Submitted,Approved"</formula1>
    </dataValidation>
    <dataValidation type="list" allowBlank="1" showInputMessage="1" showErrorMessage="1" promptTitle="Select Status" prompt="Choose the current budget status." sqref="B6">
      <formula1>"Draft,Submitted,Approved"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cols>
    <col min="1" max="1" width="30.7109375" customWidth="1"/>
    <col min="2" max="2" width="15.7109375" customWidth="1"/>
    <col min="3" max="15" width="12.7109375" customWidth="1"/>
    <col min="16" max="18" width="15.7109375" customWidth="1"/>
  </cols>
  <sheetData>
    <row r="1" spans="1:19">
      <c r="A1" s="1" t="s">
        <v>7</v>
      </c>
    </row>
    <row r="2" spans="1:19">
      <c r="A2" s="5" t="s">
        <v>8</v>
      </c>
    </row>
    <row r="4" spans="1:19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2" t="s">
        <v>22</v>
      </c>
      <c r="O4" s="2" t="s">
        <v>23</v>
      </c>
      <c r="P4" s="2" t="s">
        <v>24</v>
      </c>
      <c r="Q4" s="2" t="s">
        <v>25</v>
      </c>
      <c r="R4" s="2" t="s">
        <v>26</v>
      </c>
      <c r="S4" s="2" t="s">
        <v>46</v>
      </c>
    </row>
    <row r="5" spans="1:19">
      <c r="A5" s="6" t="s">
        <v>27</v>
      </c>
    </row>
    <row r="6" spans="1:19">
      <c r="A6" s="3" t="s">
        <v>28</v>
      </c>
      <c r="B6" s="3" t="s">
        <v>29</v>
      </c>
      <c r="C6" s="7">
        <v>50000</v>
      </c>
      <c r="D6" s="7">
        <v>50000</v>
      </c>
      <c r="E6" s="7">
        <v>50000</v>
      </c>
      <c r="F6" s="7">
        <v>50000</v>
      </c>
      <c r="G6" s="7">
        <v>50000</v>
      </c>
      <c r="H6" s="7">
        <v>50000</v>
      </c>
      <c r="I6" s="7">
        <v>50000</v>
      </c>
      <c r="J6" s="7">
        <v>50000</v>
      </c>
      <c r="K6" s="7">
        <v>50000</v>
      </c>
      <c r="L6" s="7">
        <v>50000</v>
      </c>
      <c r="M6" s="7">
        <v>50000</v>
      </c>
      <c r="N6" s="7">
        <v>50000</v>
      </c>
      <c r="O6" s="8">
        <f>SUM(C6:N6)</f>
        <v>0</v>
      </c>
      <c r="P6" s="9">
        <v>550000</v>
      </c>
      <c r="Q6" s="9">
        <f>O6-P6</f>
        <v>0</v>
      </c>
      <c r="R6" s="10">
        <f>IFERROR(Q6/P6, 0)</f>
        <v>0</v>
      </c>
    </row>
    <row r="8" spans="1:19">
      <c r="A8" s="6" t="s">
        <v>30</v>
      </c>
    </row>
    <row r="9" spans="1:19">
      <c r="A9" s="3" t="s">
        <v>31</v>
      </c>
      <c r="B9" s="3" t="s">
        <v>32</v>
      </c>
      <c r="C9" s="11">
        <v>10</v>
      </c>
      <c r="D9" s="11">
        <v>10</v>
      </c>
      <c r="E9" s="11">
        <v>10</v>
      </c>
      <c r="F9" s="11">
        <v>10</v>
      </c>
      <c r="G9" s="11">
        <v>10</v>
      </c>
      <c r="H9" s="11">
        <v>10</v>
      </c>
      <c r="I9" s="11">
        <v>10</v>
      </c>
      <c r="J9" s="11">
        <v>10</v>
      </c>
      <c r="K9" s="11">
        <v>10</v>
      </c>
      <c r="L9" s="11">
        <v>10</v>
      </c>
      <c r="M9" s="11">
        <v>10</v>
      </c>
      <c r="N9" s="11">
        <v>10</v>
      </c>
      <c r="O9" s="8">
        <f>AVERAGE(C9:N9)</f>
        <v>0</v>
      </c>
      <c r="P9" s="3">
        <v>9</v>
      </c>
      <c r="Q9" s="3">
        <f>O9-P9</f>
        <v>0</v>
      </c>
      <c r="R9" s="10">
        <f>IFERROR(Q9/P9, 0)</f>
        <v>0</v>
      </c>
    </row>
    <row r="10" spans="1:19">
      <c r="A10" s="3" t="s">
        <v>33</v>
      </c>
      <c r="B10" s="3" t="s">
        <v>34</v>
      </c>
      <c r="C10" s="7">
        <v>80000</v>
      </c>
      <c r="D10" s="7">
        <v>80000</v>
      </c>
      <c r="E10" s="7">
        <v>80000</v>
      </c>
      <c r="F10" s="7">
        <v>80000</v>
      </c>
      <c r="G10" s="7">
        <v>80000</v>
      </c>
      <c r="H10" s="7">
        <v>80000</v>
      </c>
      <c r="I10" s="7">
        <v>80000</v>
      </c>
      <c r="J10" s="7">
        <v>80000</v>
      </c>
      <c r="K10" s="7">
        <v>80000</v>
      </c>
      <c r="L10" s="7">
        <v>80000</v>
      </c>
      <c r="M10" s="7">
        <v>80000</v>
      </c>
      <c r="N10" s="7">
        <v>80000</v>
      </c>
      <c r="O10" s="8">
        <f>SUM(C10:N10)</f>
        <v>0</v>
      </c>
      <c r="P10" s="9">
        <v>900000</v>
      </c>
      <c r="Q10" s="9">
        <f>O10-P10</f>
        <v>0</v>
      </c>
      <c r="R10" s="10">
        <f>IFERROR(Q10/P10, 0)</f>
        <v>0</v>
      </c>
    </row>
    <row r="11" spans="1:19">
      <c r="A11" s="3" t="s">
        <v>35</v>
      </c>
      <c r="B11" s="3" t="s">
        <v>32</v>
      </c>
      <c r="C11" s="12">
        <v>0.25</v>
      </c>
      <c r="D11" s="12">
        <v>0.25</v>
      </c>
      <c r="E11" s="12">
        <v>0.25</v>
      </c>
      <c r="F11" s="12">
        <v>0.25</v>
      </c>
      <c r="G11" s="12">
        <v>0.25</v>
      </c>
      <c r="H11" s="12">
        <v>0.25</v>
      </c>
      <c r="I11" s="12">
        <v>0.25</v>
      </c>
      <c r="J11" s="12">
        <v>0.25</v>
      </c>
      <c r="K11" s="12">
        <v>0.25</v>
      </c>
      <c r="L11" s="12">
        <v>0.25</v>
      </c>
      <c r="M11" s="12">
        <v>0.25</v>
      </c>
      <c r="N11" s="12">
        <v>0.25</v>
      </c>
      <c r="O11" s="10">
        <f>AVERAGE(C11:N11)</f>
        <v>0</v>
      </c>
      <c r="P11" s="10">
        <v>0.24</v>
      </c>
      <c r="Q11" s="10">
        <f>O11-P11</f>
        <v>0</v>
      </c>
      <c r="R11" s="10">
        <f>IFERROR(Q11/P11, 0)</f>
        <v>0</v>
      </c>
    </row>
    <row r="12" spans="1:19">
      <c r="A12" s="3" t="s">
        <v>36</v>
      </c>
      <c r="B12" s="3" t="s">
        <v>37</v>
      </c>
      <c r="O12" s="8">
        <f>SUM(C12:N12)</f>
        <v>0</v>
      </c>
      <c r="P12" s="9">
        <v>216000</v>
      </c>
      <c r="Q12" s="9">
        <f>O12-P12</f>
        <v>0</v>
      </c>
      <c r="R12" s="10">
        <f>IFERROR(Q12/P12, 0)</f>
        <v>0</v>
      </c>
    </row>
    <row r="13" spans="1:19">
      <c r="C13" s="8">
        <f>C11*C12</f>
        <v>0</v>
      </c>
      <c r="D13" s="8">
        <f>D11*D12</f>
        <v>0</v>
      </c>
      <c r="E13" s="8">
        <f>E11*E12</f>
        <v>0</v>
      </c>
      <c r="F13" s="8">
        <f>F11*F12</f>
        <v>0</v>
      </c>
      <c r="G13" s="8">
        <f>G11*G12</f>
        <v>0</v>
      </c>
      <c r="H13" s="8">
        <f>H11*H12</f>
        <v>0</v>
      </c>
      <c r="I13" s="8">
        <f>I11*I12</f>
        <v>0</v>
      </c>
      <c r="J13" s="8">
        <f>J11*J12</f>
        <v>0</v>
      </c>
      <c r="K13" s="8">
        <f>K11*K12</f>
        <v>0</v>
      </c>
      <c r="L13" s="8">
        <f>L11*L12</f>
        <v>0</v>
      </c>
      <c r="M13" s="8">
        <f>M11*M12</f>
        <v>0</v>
      </c>
      <c r="N13" s="8">
        <f>N11*N12</f>
        <v>0</v>
      </c>
    </row>
    <row r="14" spans="1:19">
      <c r="A14" s="6" t="s">
        <v>38</v>
      </c>
    </row>
    <row r="15" spans="1:19">
      <c r="A15" s="3" t="s">
        <v>39</v>
      </c>
      <c r="B15" s="3" t="s">
        <v>40</v>
      </c>
      <c r="C15" s="7">
        <v>5000</v>
      </c>
      <c r="D15" s="7">
        <v>5000</v>
      </c>
      <c r="E15" s="7">
        <v>5000</v>
      </c>
      <c r="F15" s="7">
        <v>5000</v>
      </c>
      <c r="G15" s="7">
        <v>5000</v>
      </c>
      <c r="H15" s="7">
        <v>5000</v>
      </c>
      <c r="I15" s="7">
        <v>5000</v>
      </c>
      <c r="J15" s="7">
        <v>5000</v>
      </c>
      <c r="K15" s="7">
        <v>5000</v>
      </c>
      <c r="L15" s="7">
        <v>5000</v>
      </c>
      <c r="M15" s="7">
        <v>5000</v>
      </c>
      <c r="N15" s="7">
        <v>5000</v>
      </c>
      <c r="O15" s="8">
        <f>SUM(C15:N15)</f>
        <v>0</v>
      </c>
      <c r="P15" s="9">
        <v>55000</v>
      </c>
      <c r="Q15" s="9">
        <f>O15-P15</f>
        <v>0</v>
      </c>
      <c r="R15" s="10">
        <f>IFERROR(Q15/P15, 0)</f>
        <v>0</v>
      </c>
    </row>
    <row r="16" spans="1:19">
      <c r="A16" s="3" t="s">
        <v>41</v>
      </c>
      <c r="B16" s="3" t="s">
        <v>42</v>
      </c>
      <c r="C16" s="7">
        <v>2000</v>
      </c>
      <c r="D16" s="7">
        <v>2000</v>
      </c>
      <c r="E16" s="7">
        <v>2000</v>
      </c>
      <c r="F16" s="7">
        <v>2000</v>
      </c>
      <c r="G16" s="7">
        <v>2000</v>
      </c>
      <c r="H16" s="7">
        <v>2000</v>
      </c>
      <c r="I16" s="7">
        <v>2000</v>
      </c>
      <c r="J16" s="7">
        <v>2000</v>
      </c>
      <c r="K16" s="7">
        <v>2000</v>
      </c>
      <c r="L16" s="7">
        <v>2000</v>
      </c>
      <c r="M16" s="7">
        <v>2000</v>
      </c>
      <c r="N16" s="7">
        <v>2000</v>
      </c>
      <c r="O16" s="8">
        <f>SUM(C16:N16)</f>
        <v>0</v>
      </c>
      <c r="P16" s="9">
        <v>15000</v>
      </c>
      <c r="Q16" s="9">
        <f>O16-P16</f>
        <v>0</v>
      </c>
      <c r="R16" s="10">
        <f>IFERROR(Q16/P16, 0)</f>
        <v>0</v>
      </c>
    </row>
    <row r="18" spans="1:19">
      <c r="A18" s="6" t="s">
        <v>43</v>
      </c>
    </row>
    <row r="19" spans="1:19">
      <c r="A19" s="3" t="s">
        <v>44</v>
      </c>
      <c r="B19" s="3" t="s">
        <v>45</v>
      </c>
      <c r="C19" s="7">
        <v>25000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8">
        <f>SUM(C19:N19)</f>
        <v>0</v>
      </c>
      <c r="P19" s="9">
        <v>0</v>
      </c>
      <c r="Q19" s="9">
        <f>O19-P19</f>
        <v>0</v>
      </c>
      <c r="R19" s="10">
        <f>IFERROR(Q19/P19, 0)</f>
        <v>0</v>
      </c>
      <c r="S19" s="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Approval Workflow</vt:lpstr>
      <vt:lpstr>FY_Budget_Input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2026-03-15T19:15:17Z</dcterms:created>
  <dcterms:modified xsi:type="dcterms:W3CDTF">2026-03-15T19:15:17Z</dcterms:modified>
</cp:coreProperties>
</file>