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 Tie-Out Control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<sst xmlns="http://schemas.openxmlformats.org/spreadsheetml/2006/main" count="20" uniqueCount="20">
  <si>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Automated GL to Planning System Tie-Out</t>
  </si>
  <si>
    <t>Parameters: Tolerance = ±$500 OR ±0.1% Threshold</t>
  </si>
  <si>
    <t>GL Account Name</t>
  </si>
  <si>
    <t>GL Account Code</t>
  </si>
  <si>
    <t>Planning System Balance</t>
  </si>
  <si>
    <t>GL Trial Balance</t>
  </si>
  <si>
    <t>Variance ($)</t>
  </si>
  <si>
    <t>Variance (%)</t>
  </si>
  <si>
    <t>Status Alert</t>
  </si>
  <si>
    <t>Resolution Note</t>
  </si>
  <si>
    <t>Software Subscriptions</t>
  </si>
  <si>
    <t>6010</t>
  </si>
  <si>
    <t>Travel &amp; Entertainment</t>
  </si>
  <si>
    <t>6020</t>
  </si>
  <si>
    <t>Office Supplies</t>
  </si>
  <si>
    <t>6030</t>
  </si>
  <si>
    <t>Professional Services</t>
  </si>
  <si>
    <t>6040</t>
  </si>
  <si>
    <t>Marketing &amp; Advertising</t>
  </si>
  <si>
    <t>6050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</si>
</sst>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7562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2" width="30.7109375" customWidth="1"/>
    <col min="3" max="5" width="15.7109375" customWidth="1"/>
    <col min="6" max="7" width="18.7109375" customWidth="1"/>
    <col min="8" max="8" width="25.7109375" customWidth="1"/>
  </cols>
  <sheetData>
    <row r="1" spans="1:8">
      <c r="A1" s="1" t="s">
        <v>0</v>
      </c>
    </row>
    <row r="2" spans="1:8">
      <c r="A2" t="s">
        <v>1</v>
      </c>
    </row>
    <row r="4" spans="1:8" ht="30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>
      <c r="A5" s="3" t="s">
        <v>10</v>
      </c>
      <c r="B5" s="3" t="s">
        <v>11</v>
      </c>
      <c r="C5" s="3">
        <v>50000</v>
      </c>
      <c r="D5" s="3">
        <v>50000</v>
      </c>
      <c r="E5" s="3">
        <f>C5-D5</f>
        <v>0</v>
      </c>
      <c r="F5" s="4">
        <f>IFERROR(E5/D5, 0)</f>
        <v>0</v>
      </c>
      <c r="G5" s="3">
        <f>IF(OR(ABS(E5)&gt;500, ABS(F5)&gt;0.001), "FAILED - Investigate", "PASS")</f>
        <v>0</v>
      </c>
      <c r="H5" s="3"/>
    </row>
    <row r="6" spans="1:8">
      <c r="A6" s="3" t="s">
        <v>12</v>
      </c>
      <c r="B6" s="3" t="s">
        <v>13</v>
      </c>
      <c r="C6" s="3">
        <v>25500</v>
      </c>
      <c r="D6" s="3">
        <v>25000</v>
      </c>
      <c r="E6" s="3">
        <f>C6-D6</f>
        <v>0</v>
      </c>
      <c r="F6" s="4">
        <f>IFERROR(E6/D6, 0)</f>
        <v>0</v>
      </c>
      <c r="G6" s="3">
        <f>IF(OR(ABS(E6)&gt;500, ABS(F6)&gt;0.001), "FAILED - Investigate", "PASS")</f>
        <v>0</v>
      </c>
      <c r="H6" s="3"/>
    </row>
    <row r="7" spans="1:8">
      <c r="A7" s="3" t="s">
        <v>14</v>
      </c>
      <c r="B7" s="3" t="s">
        <v>15</v>
      </c>
      <c r="C7" s="3">
        <v>12000</v>
      </c>
      <c r="D7" s="3">
        <v>12050</v>
      </c>
      <c r="E7" s="3">
        <f>C7-D7</f>
        <v>0</v>
      </c>
      <c r="F7" s="4">
        <f>IFERROR(E7/D7, 0)</f>
        <v>0</v>
      </c>
      <c r="G7" s="3">
        <f>IF(OR(ABS(E7)&gt;500, ABS(F7)&gt;0.001), "FAILED - Investigate", "PASS")</f>
        <v>0</v>
      </c>
      <c r="H7" s="3"/>
    </row>
    <row r="8" spans="1:8">
      <c r="A8" s="3" t="s">
        <v>16</v>
      </c>
      <c r="B8" s="3" t="s">
        <v>17</v>
      </c>
      <c r="C8" s="3">
        <v>155000</v>
      </c>
      <c r="D8" s="3">
        <v>155100</v>
      </c>
      <c r="E8" s="3">
        <f>C8-D8</f>
        <v>0</v>
      </c>
      <c r="F8" s="4">
        <f>IFERROR(E8/D8, 0)</f>
        <v>0</v>
      </c>
      <c r="G8" s="3">
        <f>IF(OR(ABS(E8)&gt;500, ABS(F8)&gt;0.001), "FAILED - Investigate", "PASS")</f>
        <v>0</v>
      </c>
      <c r="H8" s="3"/>
    </row>
    <row r="9" spans="1:8">
      <c r="A9" s="3" t="s">
        <v>18</v>
      </c>
      <c r="B9" s="3" t="s">
        <v>19</v>
      </c>
      <c r="C9" s="3">
        <v>300000</v>
      </c>
      <c r="D9" s="3">
        <v>290000</v>
      </c>
      <c r="E9" s="3">
        <f>C9-D9</f>
        <v>0</v>
      </c>
      <c r="F9" s="4">
        <f>IFERROR(E9/D9, 0)</f>
        <v>0</v>
      </c>
      <c r="G9" s="3">
        <f>IF(OR(ABS(E9)&gt;500, ABS(F9)&gt;0.001), "FAILED - Investigate", "PASS")</f>
        <v>0</v>
      </c>
      <c r="H9" s="3"/>
    </row>
  </sheetData>
  <conditionalFormatting sqref="G5:G9">
    <cfRule type="cellIs" dxfId="0" priority="1" operator="equal">
      <formula>"PASS"</formula>
    </cfRule>
    <cfRule type="containsText" dxfId="1" priority="2" operator="containsText" text="FAILED">
      <formula>NOT(ISERROR(SEARCH("FAILED",G5)))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Tie-Out Control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2026-03-15T19:15:17Z</dcterms:created>
  <dcterms:modified xsi:type="dcterms:W3CDTF">2026-03-15T19:15:17Z</dcterms:modified>
</cp:coreProperties>
</file>